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\Documents\Technical-Support-Ticketing-System\metrics\"/>
    </mc:Choice>
  </mc:AlternateContent>
  <xr:revisionPtr revIDLastSave="0" documentId="13_ncr:1_{FB94A601-870B-4C29-B7AE-8E9D9C9C039C}" xr6:coauthVersionLast="47" xr6:coauthVersionMax="47" xr10:uidLastSave="{00000000-0000-0000-0000-000000000000}"/>
  <bookViews>
    <workbookView xWindow="-120" yWindow="-120" windowWidth="29040" windowHeight="15840" xr2:uid="{5AD76F6D-FC48-4690-ACEB-AC114048DEB3}"/>
  </bookViews>
  <sheets>
    <sheet name="Sheet2" sheetId="2" r:id="rId1"/>
    <sheet name="Sheet3" sheetId="3" r:id="rId2"/>
    <sheet name="Sheet1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</calcChain>
</file>

<file path=xl/sharedStrings.xml><?xml version="1.0" encoding="utf-8"?>
<sst xmlns="http://schemas.openxmlformats.org/spreadsheetml/2006/main" count="61" uniqueCount="41">
  <si>
    <t>Ticket ID</t>
  </si>
  <si>
    <t>Date Opened</t>
  </si>
  <si>
    <t>Priority</t>
  </si>
  <si>
    <t>Resolution Time (hrs)</t>
  </si>
  <si>
    <t>Escalated (Y/N)</t>
  </si>
  <si>
    <t>Root Cause Type</t>
  </si>
  <si>
    <t>Issue Category</t>
  </si>
  <si>
    <t>Product Type</t>
  </si>
  <si>
    <t>Status</t>
  </si>
  <si>
    <t>TS-001</t>
  </si>
  <si>
    <t>Power / Startup</t>
  </si>
  <si>
    <t>Battery-Powered</t>
  </si>
  <si>
    <t>High</t>
  </si>
  <si>
    <t>N</t>
  </si>
  <si>
    <t>Electrical Contact</t>
  </si>
  <si>
    <t>Closed</t>
  </si>
  <si>
    <t>TS-002</t>
  </si>
  <si>
    <t>Performance</t>
  </si>
  <si>
    <t>Gas-Powered</t>
  </si>
  <si>
    <t>Medium</t>
  </si>
  <si>
    <t>Maintenance</t>
  </si>
  <si>
    <t>TS-003</t>
  </si>
  <si>
    <t>Error Code</t>
  </si>
  <si>
    <t>Smart / Connected</t>
  </si>
  <si>
    <t>Y</t>
  </si>
  <si>
    <t>Firmware</t>
  </si>
  <si>
    <t>TS-004</t>
  </si>
  <si>
    <t>Connectivity</t>
  </si>
  <si>
    <t>Software/App</t>
  </si>
  <si>
    <t>TS-005</t>
  </si>
  <si>
    <t>Safety Interlock</t>
  </si>
  <si>
    <t>Mechanical</t>
  </si>
  <si>
    <t>Summary</t>
  </si>
  <si>
    <t>Total Tickets</t>
  </si>
  <si>
    <t>High Priority Tickets</t>
  </si>
  <si>
    <t>Escalated Tickets</t>
  </si>
  <si>
    <t>Avg Resolution Time (hrs)</t>
  </si>
  <si>
    <t>Row Labels</t>
  </si>
  <si>
    <t>Grand Total</t>
  </si>
  <si>
    <t>Count of Ticket ID</t>
  </si>
  <si>
    <t>Average of Resolution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</si>
</sst>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166" formatCode="0.0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[support_metrics.xlsx]Sheet2!PivotTable1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</a:t>
            </a:r>
            <a:r>
              <a:rPr lang="en-US" baseline="0"/>
              <a:t> by Issue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Connectivity</c:v>
                </c:pt>
                <c:pt idx="1">
                  <c:v>Error Code</c:v>
                </c:pt>
                <c:pt idx="2">
                  <c:v>Performance</c:v>
                </c:pt>
                <c:pt idx="3">
                  <c:v>Power / Startup</c:v>
                </c:pt>
                <c:pt idx="4">
                  <c:v>Safety Interlock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3-4BC9-BDDC-4E38E0D28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3232"/>
        <c:axId val="192269872"/>
      </c:barChart>
      <c:catAx>
        <c:axId val="1922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69872"/>
        <c:crosses val="autoZero"/>
        <c:auto val="1"/>
        <c:lblAlgn val="ctr"/>
        <c:lblOffset val="100"/>
        <c:noMultiLvlLbl val="0"/>
      </c:catAx>
      <c:valAx>
        <c:axId val="1922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[support_metrics.xlsx]Sheet3!PivotTable2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Resolution Time by Priority</a:t>
            </a:r>
          </a:p>
        </c:rich>
      </c:tx>
      <c:layout>
        <c:manualLayout>
          <c:xMode val="edge"/>
          <c:yMode val="edge"/>
          <c:x val="0.11898467530268396"/>
          <c:y val="3.9193733595800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Sheet3!$B$4:$B$5</c:f>
              <c:numCache>
                <c:formatCode>0.0</c:formatCode>
                <c:ptCount val="2"/>
                <c:pt idx="0">
                  <c:v>1.5</c:v>
                </c:pt>
                <c:pt idx="1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467D-9DC3-4774ED3F6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09168"/>
        <c:axId val="192107728"/>
      </c:barChart>
      <c:catAx>
        <c:axId val="1921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07728"/>
        <c:crosses val="autoZero"/>
        <c:auto val="1"/>
        <c:lblAlgn val="ctr"/>
        <c:lblOffset val="100"/>
        <c:noMultiLvlLbl val="0"/>
      </c:catAx>
      <c:valAx>
        <c:axId val="1921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0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0</xdr:rowOff>
    </xdr:from>
    <xdr:to>
      <xdr:col>8</xdr:col>
      <xdr:colOff>247650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6BF75-1389-000B-4891-2B0518DA1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523875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10CE6-B647-D96C-B6EF-782570AFA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" refreshedDate="46042.447240624999" createdVersion="8" refreshedVersion="8" minRefreshableVersion="3" recordCount="5" xr:uid="{B81C849E-567D-4B4A-B1EF-EFA1863CD5CC}">
  <cacheSource type="worksheet">
    <worksheetSource name="SupportTickets"/>
  </cacheSource>
  <cacheFields count="9">
    <cacheField name="Ticket ID" numFmtId="0">
      <sharedItems/>
    </cacheField>
    <cacheField name="Date Opened" numFmtId="14">
      <sharedItems containsSemiMixedTypes="0" containsNonDate="0" containsDate="1" containsString="0" minDate="2026-01-20T00:00:00" maxDate="2026-01-21T00:00:00"/>
    </cacheField>
    <cacheField name="Issue Category" numFmtId="0">
      <sharedItems count="5">
        <s v="Power / Startup"/>
        <s v="Performance"/>
        <s v="Error Code"/>
        <s v="Connectivity"/>
        <s v="Safety Interlock"/>
      </sharedItems>
    </cacheField>
    <cacheField name="Product Type" numFmtId="0">
      <sharedItems/>
    </cacheField>
    <cacheField name="Priority" numFmtId="0">
      <sharedItems count="2">
        <s v="High"/>
        <s v="Medium"/>
      </sharedItems>
    </cacheField>
    <cacheField name="Resolution Time (hrs)" numFmtId="166">
      <sharedItems containsSemiMixedTypes="0" containsString="0" containsNumber="1" minValue="1" maxValue="2"/>
    </cacheField>
    <cacheField name="Escalated (Y/N)" numFmtId="0">
      <sharedItems/>
    </cacheField>
    <cacheField name="Root Cause Typ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S-001"/>
    <d v="2026-01-20T00:00:00"/>
    <x v="0"/>
    <s v="Battery-Powered"/>
    <x v="0"/>
    <n v="1.2"/>
    <s v="N"/>
    <s v="Electrical Contact"/>
    <s v="Closed"/>
  </r>
  <r>
    <s v="TS-002"/>
    <d v="2026-01-20T00:00:00"/>
    <x v="1"/>
    <s v="Gas-Powered"/>
    <x v="1"/>
    <n v="1.5"/>
    <s v="N"/>
    <s v="Maintenance"/>
    <s v="Closed"/>
  </r>
  <r>
    <s v="TS-003"/>
    <d v="2026-01-20T00:00:00"/>
    <x v="2"/>
    <s v="Smart / Connected"/>
    <x v="0"/>
    <n v="2"/>
    <s v="Y"/>
    <s v="Firmware"/>
    <s v="Closed"/>
  </r>
  <r>
    <s v="TS-004"/>
    <d v="2026-01-20T00:00:00"/>
    <x v="3"/>
    <s v="Smart / Connected"/>
    <x v="1"/>
    <n v="1"/>
    <s v="N"/>
    <s v="Software/App"/>
    <s v="Closed"/>
  </r>
  <r>
    <s v="TS-005"/>
    <d v="2026-01-20T00:00:00"/>
    <x v="4"/>
    <s v="Gas-Powered"/>
    <x v="0"/>
    <n v="1.3"/>
    <s v="N"/>
    <s v="Mechanical"/>
    <s v="Clo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7ECE9-F350-468B-A363-FF4D5A979DC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9">
    <pivotField dataField="1" showAll="0"/>
    <pivotField numFmtId="14"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numFmtId="166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5AF62-319A-4C3F-8D9D-4C5E310A36A6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5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Average of Resolution Time (hrs)" fld="5" subtotal="average" baseField="4" baseItem="0" numFmtId="166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B578D-C2F0-4C31-81AA-68B4A8AD818A}" name="SupportTickets" displayName="SupportTickets" ref="A1:I6" totalsRowShown="0">
  <autoFilter ref="A1:I6" xr:uid="{954B578D-C2F0-4C31-81AA-68B4A8AD818A}"/>
  <tableColumns count="9">
    <tableColumn id="1" xr3:uid="{3D7595E7-A62C-4DAC-8154-6B8185F9C5AA}" name="Ticket ID" dataDxfId="2"/>
    <tableColumn id="2" xr3:uid="{42E36C4B-8315-4771-9E86-92D849075001}" name="Date Opened" dataDxfId="1"/>
    <tableColumn id="3" xr3:uid="{A9189CE3-C0B3-45C3-8CB0-A278A764C8C5}" name="Issue Category"/>
    <tableColumn id="4" xr3:uid="{FC7F729A-DBB8-4A12-97D7-0869B98CC962}" name="Product Type"/>
    <tableColumn id="5" xr3:uid="{255FF053-D546-439E-9E9E-EF26119EDA35}" name="Priority"/>
    <tableColumn id="6" xr3:uid="{78CF91E9-82FF-4558-81F6-4F042A59A3AE}" name="Resolution Time (hrs)" dataDxfId="0"/>
    <tableColumn id="7" xr3:uid="{F1C62C2F-E0FB-44D9-B57C-B5FC7F48A6E8}" name="Escalated (Y/N)"/>
    <tableColumn id="8" xr3:uid="{A952CCFD-CAD0-4102-A15C-555747B3B614}" name="Root Cause Type"/>
    <tableColumn id="9" xr3:uid="{3C2831E4-EE22-4453-A54F-FC02E283B60C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8132-6132-435D-884B-34F68E16A558}">
  <dimension ref="A3:B9"/>
  <sheetViews>
    <sheetView tabSelected="1" workbookViewId="0">
      <selection activeCell="E37" sqref="E37"/>
    </sheetView>
  </sheetViews>
  <sheetFormatPr defaultRowHeight="15" x14ac:dyDescent="0.25"/>
  <cols>
    <col min="1" max="1" width="14.42578125" bestFit="1" customWidth="1"/>
    <col min="2" max="2" width="17.42578125" bestFit="1" customWidth="1"/>
  </cols>
  <sheetData>
    <row r="3" spans="1:2" x14ac:dyDescent="0.25">
      <c r="A3" s="5" t="s">
        <v>37</v>
      </c>
      <c r="B3" t="s">
        <v>39</v>
      </c>
    </row>
    <row r="4" spans="1:2" x14ac:dyDescent="0.25">
      <c r="A4" s="6" t="s">
        <v>27</v>
      </c>
      <c r="B4" s="7">
        <v>1</v>
      </c>
    </row>
    <row r="5" spans="1:2" x14ac:dyDescent="0.25">
      <c r="A5" s="6" t="s">
        <v>22</v>
      </c>
      <c r="B5" s="7">
        <v>1</v>
      </c>
    </row>
    <row r="6" spans="1:2" x14ac:dyDescent="0.25">
      <c r="A6" s="6" t="s">
        <v>17</v>
      </c>
      <c r="B6" s="7">
        <v>1</v>
      </c>
    </row>
    <row r="7" spans="1:2" x14ac:dyDescent="0.25">
      <c r="A7" s="6" t="s">
        <v>10</v>
      </c>
      <c r="B7" s="7">
        <v>1</v>
      </c>
    </row>
    <row r="8" spans="1:2" x14ac:dyDescent="0.25">
      <c r="A8" s="6" t="s">
        <v>30</v>
      </c>
      <c r="B8" s="7">
        <v>1</v>
      </c>
    </row>
    <row r="9" spans="1:2" x14ac:dyDescent="0.25">
      <c r="A9" s="6" t="s">
        <v>38</v>
      </c>
      <c r="B9" s="7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B515-5002-4CDF-96B4-F88486D080C8}">
  <dimension ref="A3:B5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31" bestFit="1" customWidth="1"/>
  </cols>
  <sheetData>
    <row r="3" spans="1:2" x14ac:dyDescent="0.25">
      <c r="A3" s="5" t="s">
        <v>37</v>
      </c>
      <c r="B3" t="s">
        <v>40</v>
      </c>
    </row>
    <row r="4" spans="1:2" x14ac:dyDescent="0.25">
      <c r="A4" s="6" t="s">
        <v>12</v>
      </c>
      <c r="B4" s="3">
        <v>1.5</v>
      </c>
    </row>
    <row r="5" spans="1:2" x14ac:dyDescent="0.25">
      <c r="A5" s="6" t="s">
        <v>19</v>
      </c>
      <c r="B5" s="3">
        <v>1.25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37B3-06B9-4054-9AD8-742B98F14B70}">
  <dimension ref="A1:L6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1.140625" style="2" bestFit="1" customWidth="1"/>
    <col min="2" max="2" width="15.140625" style="1" bestFit="1" customWidth="1"/>
    <col min="3" max="3" width="16.85546875" bestFit="1" customWidth="1"/>
    <col min="4" max="4" width="17.28515625" bestFit="1" customWidth="1"/>
    <col min="5" max="5" width="9.85546875" bestFit="1" customWidth="1"/>
    <col min="6" max="6" width="23" style="3" bestFit="1" customWidth="1"/>
    <col min="7" max="7" width="17.28515625" bestFit="1" customWidth="1"/>
    <col min="8" max="8" width="18.5703125" bestFit="1" customWidth="1"/>
    <col min="9" max="9" width="9" bestFit="1" customWidth="1"/>
  </cols>
  <sheetData>
    <row r="1" spans="1:12" x14ac:dyDescent="0.25">
      <c r="A1" s="2" t="s">
        <v>0</v>
      </c>
      <c r="B1" s="1" t="s">
        <v>1</v>
      </c>
      <c r="C1" t="s">
        <v>6</v>
      </c>
      <c r="D1" t="s">
        <v>7</v>
      </c>
      <c r="E1" t="s">
        <v>2</v>
      </c>
      <c r="F1" s="3" t="s">
        <v>3</v>
      </c>
      <c r="G1" t="s">
        <v>4</v>
      </c>
      <c r="H1" t="s">
        <v>5</v>
      </c>
      <c r="I1" t="s">
        <v>8</v>
      </c>
      <c r="K1" s="2" t="s">
        <v>32</v>
      </c>
    </row>
    <row r="2" spans="1:12" x14ac:dyDescent="0.25">
      <c r="A2" s="2" t="s">
        <v>9</v>
      </c>
      <c r="B2" s="1">
        <v>46042</v>
      </c>
      <c r="C2" t="s">
        <v>10</v>
      </c>
      <c r="D2" t="s">
        <v>11</v>
      </c>
      <c r="E2" t="s">
        <v>12</v>
      </c>
      <c r="F2" s="3">
        <v>1.2</v>
      </c>
      <c r="G2" t="s">
        <v>13</v>
      </c>
      <c r="H2" t="s">
        <v>14</v>
      </c>
      <c r="I2" t="s">
        <v>15</v>
      </c>
      <c r="K2" s="2" t="s">
        <v>33</v>
      </c>
      <c r="L2" s="2">
        <f>ROWS(A2:A6)</f>
        <v>5</v>
      </c>
    </row>
    <row r="3" spans="1:12" x14ac:dyDescent="0.25">
      <c r="A3" s="2" t="s">
        <v>16</v>
      </c>
      <c r="B3" s="1">
        <v>46042</v>
      </c>
      <c r="C3" t="s">
        <v>17</v>
      </c>
      <c r="D3" t="s">
        <v>18</v>
      </c>
      <c r="E3" t="s">
        <v>19</v>
      </c>
      <c r="F3" s="3">
        <v>1.5</v>
      </c>
      <c r="G3" t="s">
        <v>13</v>
      </c>
      <c r="H3" t="s">
        <v>20</v>
      </c>
      <c r="I3" t="s">
        <v>15</v>
      </c>
      <c r="K3" s="2" t="s">
        <v>36</v>
      </c>
      <c r="L3" s="4">
        <f>AVERAGE(F2:F6)</f>
        <v>1.4</v>
      </c>
    </row>
    <row r="4" spans="1:12" x14ac:dyDescent="0.25">
      <c r="A4" s="2" t="s">
        <v>21</v>
      </c>
      <c r="B4" s="1">
        <v>46042</v>
      </c>
      <c r="C4" t="s">
        <v>22</v>
      </c>
      <c r="D4" t="s">
        <v>23</v>
      </c>
      <c r="E4" t="s">
        <v>12</v>
      </c>
      <c r="F4" s="3">
        <v>2</v>
      </c>
      <c r="G4" t="s">
        <v>24</v>
      </c>
      <c r="H4" t="s">
        <v>25</v>
      </c>
      <c r="I4" t="s">
        <v>15</v>
      </c>
      <c r="K4" s="2" t="s">
        <v>34</v>
      </c>
      <c r="L4" s="2">
        <f>COUNTIF(E2:E6,"High")</f>
        <v>3</v>
      </c>
    </row>
    <row r="5" spans="1:12" x14ac:dyDescent="0.25">
      <c r="A5" s="2" t="s">
        <v>26</v>
      </c>
      <c r="B5" s="1">
        <v>46042</v>
      </c>
      <c r="C5" t="s">
        <v>27</v>
      </c>
      <c r="D5" t="s">
        <v>23</v>
      </c>
      <c r="E5" t="s">
        <v>19</v>
      </c>
      <c r="F5" s="3">
        <v>1</v>
      </c>
      <c r="G5" t="s">
        <v>13</v>
      </c>
      <c r="H5" t="s">
        <v>28</v>
      </c>
      <c r="I5" t="s">
        <v>15</v>
      </c>
      <c r="K5" s="2" t="s">
        <v>35</v>
      </c>
      <c r="L5" s="2">
        <f>COUNTIF(G2:G6,"Y")</f>
        <v>1</v>
      </c>
    </row>
    <row r="6" spans="1:12" x14ac:dyDescent="0.25">
      <c r="A6" s="2" t="s">
        <v>29</v>
      </c>
      <c r="B6" s="1">
        <v>46042</v>
      </c>
      <c r="C6" t="s">
        <v>30</v>
      </c>
      <c r="D6" t="s">
        <v>18</v>
      </c>
      <c r="E6" t="s">
        <v>12</v>
      </c>
      <c r="F6" s="3">
        <v>1.3</v>
      </c>
      <c r="G6" t="s">
        <v>13</v>
      </c>
      <c r="H6" t="s">
        <v>31</v>
      </c>
      <c r="I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Landmesser</dc:creator>
  <cp:lastModifiedBy>Marcus Landmesser</cp:lastModifiedBy>
  <dcterms:created xsi:type="dcterms:W3CDTF">2026-01-20T18:10:45Z</dcterms:created>
  <dcterms:modified xsi:type="dcterms:W3CDTF">2026-01-20T19:07:47Z</dcterms:modified>
</cp:coreProperties>
</file>